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6"/>
  <workbookPr/>
  <mc:AlternateContent xmlns:mc="http://schemas.openxmlformats.org/markup-compatibility/2006">
    <mc:Choice Requires="x15">
      <x15ac:absPath xmlns:x15ac="http://schemas.microsoft.com/office/spreadsheetml/2010/11/ac" url="C:\Users\chunbeiwang\Downloads\"/>
    </mc:Choice>
  </mc:AlternateContent>
  <xr:revisionPtr revIDLastSave="203" documentId="13_ncr:1_{65F6ACF4-0E11-4456-A716-D1BBD8106E66}" xr6:coauthVersionLast="47" xr6:coauthVersionMax="47" xr10:uidLastSave="{27216419-FBE1-4B46-BBE8-B06F9BC91065}"/>
  <bookViews>
    <workbookView xWindow="15980" yWindow="580" windowWidth="20680" windowHeight="20730" activeTab="2" xr2:uid="{53A63D6F-E822-9F49-8454-1C6D116A7C22}"/>
  </bookViews>
  <sheets>
    <sheet name="Master" sheetId="1" r:id="rId1"/>
    <sheet name="Week 1" sheetId="2" r:id="rId2"/>
    <sheet name="Week 2" sheetId="3" r:id="rId3"/>
    <sheet name="Week 3" sheetId="4" r:id="rId4"/>
    <sheet name="Week 4" sheetId="5" r:id="rId5"/>
    <sheet name="Week 5" sheetId="6" r:id="rId6"/>
    <sheet name="Week 6" sheetId="7" r:id="rId7"/>
    <sheet name="Week 7" sheetId="8" r:id="rId8"/>
    <sheet name="Week 8" sheetId="9" r:id="rId9"/>
    <sheet name="Week 9" sheetId="10" r:id="rId10"/>
    <sheet name="Week 10" sheetId="11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2" l="1"/>
  <c r="A12" i="2" s="1"/>
  <c r="A14" i="2" s="1"/>
</calcChain>
</file>

<file path=xl/sharedStrings.xml><?xml version="1.0" encoding="utf-8"?>
<sst xmlns="http://schemas.openxmlformats.org/spreadsheetml/2006/main" count="118" uniqueCount="97">
  <si>
    <t>Tasks and Topics</t>
  </si>
  <si>
    <t>Deliverables</t>
  </si>
  <si>
    <t>Important Dates</t>
  </si>
  <si>
    <t>Week 1</t>
  </si>
  <si>
    <t>Basic Research skills</t>
  </si>
  <si>
    <t>Plan</t>
  </si>
  <si>
    <t>Orientation: Wednesday May 27, 2026</t>
  </si>
  <si>
    <t>Week 2</t>
  </si>
  <si>
    <t>Basic Programming skills</t>
  </si>
  <si>
    <t>Stakeholer Meetings</t>
  </si>
  <si>
    <t xml:space="preserve">Week 3 </t>
  </si>
  <si>
    <t>Data skills - multimodality</t>
  </si>
  <si>
    <t>Week 4</t>
  </si>
  <si>
    <t>Data skills - multimodlity</t>
  </si>
  <si>
    <t>Week 5</t>
  </si>
  <si>
    <t>Data Exploratory skills &amp; Modeling skills</t>
  </si>
  <si>
    <t>Week 6</t>
  </si>
  <si>
    <t>Advanced skills and topics</t>
  </si>
  <si>
    <t xml:space="preserve">Week 7 </t>
  </si>
  <si>
    <t>Analysis (start Kohl Insights)</t>
  </si>
  <si>
    <t>Week 8</t>
  </si>
  <si>
    <t>Analysis (finalize results, make progress on Kohl Insights)</t>
  </si>
  <si>
    <t>Week 9</t>
  </si>
  <si>
    <t>Finalize R shiny + poster, make progress on Kohl Insights</t>
  </si>
  <si>
    <t>Abstract submission deadline is July 20 at 8:00 a.m.</t>
  </si>
  <si>
    <t>Week 10</t>
  </si>
  <si>
    <t>Finalize Github, prepare for final presentation, finalize Kohl Insights</t>
  </si>
  <si>
    <t>Poster, Kohl Insights, Shiny APP</t>
  </si>
  <si>
    <t>Topic</t>
  </si>
  <si>
    <t>Location</t>
  </si>
  <si>
    <t>Event/Activities</t>
  </si>
  <si>
    <t>Memorial day - no activities</t>
  </si>
  <si>
    <t>First day</t>
  </si>
  <si>
    <t>Orientation with University - Full Day Event</t>
  </si>
  <si>
    <t xml:space="preserve">working with stakeholder </t>
  </si>
  <si>
    <t xml:space="preserve">Instructor </t>
  </si>
  <si>
    <t xml:space="preserve">Literature Rev </t>
  </si>
  <si>
    <t xml:space="preserve">Yujuan </t>
  </si>
  <si>
    <t>How to work with Stakeholder  Lecture</t>
  </si>
  <si>
    <t xml:space="preserve">Eric </t>
  </si>
  <si>
    <t xml:space="preserve">Introduction to Research </t>
  </si>
  <si>
    <t xml:space="preserve">Dr. L. Wang &amp; Dr. C. Wang </t>
  </si>
  <si>
    <t xml:space="preserve">Week 2 : Data and Programming </t>
  </si>
  <si>
    <t xml:space="preserve">Timing </t>
  </si>
  <si>
    <t xml:space="preserve">R  (Lecture 1 &amp; 2) </t>
  </si>
  <si>
    <t>Library</t>
  </si>
  <si>
    <t xml:space="preserve">(Dr. Cary Reach out &amp; Schedule) </t>
  </si>
  <si>
    <t>9 am - 12 pm</t>
  </si>
  <si>
    <t xml:space="preserve">Git </t>
  </si>
  <si>
    <t xml:space="preserve">R Shiny  &amp; R MD </t>
  </si>
  <si>
    <t xml:space="preserve">Coding Organization &amp; Standard </t>
  </si>
  <si>
    <t xml:space="preserve">Xiaoyi &amp; Pragati </t>
  </si>
  <si>
    <t xml:space="preserve">Template </t>
  </si>
  <si>
    <t>( pending)</t>
  </si>
  <si>
    <t>Communicating Datasets</t>
  </si>
  <si>
    <t>Pragati - how to use AI to organize data availability</t>
  </si>
  <si>
    <t xml:space="preserve">(pending) </t>
  </si>
  <si>
    <t xml:space="preserve">Data – Multimodality – dataset, a more complicated R shiny app (deliverable)
</t>
  </si>
  <si>
    <t xml:space="preserve">AI &amp; Ethics </t>
  </si>
  <si>
    <t xml:space="preserve">Junth 8 </t>
  </si>
  <si>
    <t xml:space="preserve">Stuctured AP + Large Dataset </t>
  </si>
  <si>
    <t xml:space="preserve">Xiaoyi </t>
  </si>
  <si>
    <t xml:space="preserve">9 am - 11 pm </t>
  </si>
  <si>
    <t xml:space="preserve">(The exact timing will be decided later ) </t>
  </si>
  <si>
    <t>Transportation, health care access</t>
  </si>
  <si>
    <t>Junghwan</t>
  </si>
  <si>
    <t xml:space="preserve">10 am - 12 pm </t>
  </si>
  <si>
    <t>remote sensing</t>
  </si>
  <si>
    <t>Yang Shao</t>
  </si>
  <si>
    <t>Text (web scraping + natural language processing -- CS)</t>
  </si>
  <si>
    <t>CS</t>
  </si>
  <si>
    <t xml:space="preserve">9 am - 12 pm </t>
  </si>
  <si>
    <t xml:space="preserve">Week 4 </t>
  </si>
  <si>
    <t xml:space="preserve">Explorotary and Communiction </t>
  </si>
  <si>
    <t xml:space="preserve">Advanced Data Visualizatio </t>
  </si>
  <si>
    <t xml:space="preserve">Yuanyuan </t>
  </si>
  <si>
    <t xml:space="preserve">Explorotary analysis </t>
  </si>
  <si>
    <t xml:space="preserve">Advanced R Shiny </t>
  </si>
  <si>
    <t xml:space="preserve">Week 5 Topic : Modeling Skills </t>
  </si>
  <si>
    <t xml:space="preserve">Introduction to Statistics </t>
  </si>
  <si>
    <t>Reduction technique -- index building</t>
  </si>
  <si>
    <t>Huaiyang, Yang Cheng</t>
  </si>
  <si>
    <t xml:space="preserve">9 am - 11: 30 am </t>
  </si>
  <si>
    <t xml:space="preserve">Causal Inference (Lecture 1 &amp;  2) </t>
  </si>
  <si>
    <t xml:space="preserve">Yujuan (Causal Inference Philosophy, DID , Synthetic Control , RCT) </t>
  </si>
  <si>
    <t xml:space="preserve">9 am - 11 am in two days </t>
  </si>
  <si>
    <t xml:space="preserve"> may expand to 3 hr</t>
  </si>
  <si>
    <t xml:space="preserve">Pragati ( IV , RDD) </t>
  </si>
  <si>
    <t xml:space="preserve">Potentially : Propensity Score etc. </t>
  </si>
  <si>
    <t xml:space="preserve">Week 6 Topic: Advanced Skills and Topics </t>
  </si>
  <si>
    <t xml:space="preserve">AI - Advanced Computing at VT </t>
  </si>
  <si>
    <t xml:space="preserve">Dr. C. Wang will schedule the guest speaker </t>
  </si>
  <si>
    <t xml:space="preserve">LLM </t>
  </si>
  <si>
    <t xml:space="preserve">( Potentially guest speaker in Data Science Series ) </t>
  </si>
  <si>
    <t>LLM + R – ellmer, querychat</t>
  </si>
  <si>
    <t>Poster + Latex</t>
  </si>
  <si>
    <t>Timing : 9 - 11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</si>
</sst>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theme="1"/>
      <name val="Times New Roman"/>
      <family val="1"/>
    </font>
    <font>
      <u/>
      <sz val="12"/>
      <color theme="10"/>
      <name val="Times New Roman"/>
      <family val="1"/>
    </font>
    <font>
      <sz val="12"/>
      <color rgb="FF000000"/>
      <name val="Aptos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2" fillId="0" borderId="0" xfId="0" applyFont="1"/>
    <xf numFmtId="0" fontId="3" fillId="0" borderId="0" xfId="1" applyFont="1"/>
    <xf numFmtId="0" fontId="4" fillId="0" borderId="0" xfId="0" applyFont="1"/>
    <xf numFmtId="16" fontId="0" fillId="0" borderId="0" xfId="0" applyNumberFormat="1"/>
    <xf numFmtId="0" fontId="0" fillId="0" borderId="0" xfId="0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7D784-1E42-A348-A9E2-F410F7914403}">
  <dimension ref="A2:E21"/>
  <sheetViews>
    <sheetView workbookViewId="0">
      <selection activeCell="C19" sqref="C19"/>
    </sheetView>
  </sheetViews>
  <sheetFormatPr defaultColWidth="10.625" defaultRowHeight="15.6"/>
  <cols>
    <col min="1" max="1" width="10.625" style="2"/>
    <col min="2" max="2" width="56.875" style="2" customWidth="1"/>
    <col min="3" max="3" width="29.125" style="2" customWidth="1"/>
    <col min="4" max="4" width="17.5" style="2" customWidth="1"/>
    <col min="5" max="5" width="47.875" style="2" customWidth="1"/>
    <col min="6" max="16384" width="10.625" style="2"/>
  </cols>
  <sheetData>
    <row r="2" spans="1:5">
      <c r="B2" s="2" t="s">
        <v>0</v>
      </c>
      <c r="D2" s="2" t="s">
        <v>1</v>
      </c>
      <c r="E2" s="2" t="s">
        <v>2</v>
      </c>
    </row>
    <row r="3" spans="1:5">
      <c r="A3" s="3" t="s">
        <v>3</v>
      </c>
      <c r="B3" s="2" t="s">
        <v>4</v>
      </c>
      <c r="D3" s="2" t="s">
        <v>5</v>
      </c>
      <c r="E3" s="2" t="s">
        <v>6</v>
      </c>
    </row>
    <row r="5" spans="1:5">
      <c r="A5" s="2" t="s">
        <v>7</v>
      </c>
      <c r="B5" s="2" t="s">
        <v>8</v>
      </c>
      <c r="D5" s="2" t="s">
        <v>9</v>
      </c>
    </row>
    <row r="7" spans="1:5">
      <c r="A7" s="2" t="s">
        <v>10</v>
      </c>
      <c r="B7" s="2" t="s">
        <v>11</v>
      </c>
    </row>
    <row r="9" spans="1:5">
      <c r="A9" s="2" t="s">
        <v>12</v>
      </c>
      <c r="B9" s="2" t="s">
        <v>13</v>
      </c>
    </row>
    <row r="11" spans="1:5">
      <c r="A11" s="2" t="s">
        <v>14</v>
      </c>
      <c r="B11" s="2" t="s">
        <v>15</v>
      </c>
    </row>
    <row r="13" spans="1:5">
      <c r="A13" s="2" t="s">
        <v>16</v>
      </c>
      <c r="B13" s="2" t="s">
        <v>17</v>
      </c>
    </row>
    <row r="15" spans="1:5">
      <c r="A15" s="2" t="s">
        <v>18</v>
      </c>
      <c r="B15" s="2" t="s">
        <v>19</v>
      </c>
    </row>
    <row r="17" spans="1:5">
      <c r="A17" s="2" t="s">
        <v>20</v>
      </c>
      <c r="B17" s="2" t="s">
        <v>21</v>
      </c>
    </row>
    <row r="19" spans="1:5">
      <c r="A19" s="2" t="s">
        <v>22</v>
      </c>
      <c r="B19" s="2" t="s">
        <v>23</v>
      </c>
      <c r="E19" s="2" t="s">
        <v>24</v>
      </c>
    </row>
    <row r="21" spans="1:5">
      <c r="A21" s="2" t="s">
        <v>25</v>
      </c>
      <c r="B21" s="2" t="s">
        <v>26</v>
      </c>
      <c r="E21" s="2" t="s">
        <v>27</v>
      </c>
    </row>
  </sheetData>
  <hyperlinks>
    <hyperlink ref="A3" location="'Week 1'!A1" display="Week 1" xr:uid="{9E01FC4F-1E34-C54F-92AC-B56B9CB6E3E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ABCE58-A8F1-4047-AD55-074F18A4BD46}">
  <dimension ref="A1:F23"/>
  <sheetViews>
    <sheetView workbookViewId="0">
      <selection activeCell="C3" sqref="C3"/>
    </sheetView>
  </sheetViews>
  <sheetFormatPr defaultColWidth="10.625" defaultRowHeight="15.95"/>
  <cols>
    <col min="1" max="1" width="19" customWidth="1"/>
    <col min="2" max="2" width="23.75" customWidth="1"/>
    <col min="3" max="3" width="35.5" customWidth="1"/>
    <col min="6" max="6" width="21.75" customWidth="1"/>
  </cols>
  <sheetData>
    <row r="1" spans="1:6">
      <c r="C1" t="s">
        <v>28</v>
      </c>
      <c r="D1" t="s">
        <v>29</v>
      </c>
      <c r="E1" t="s">
        <v>1</v>
      </c>
      <c r="F1" t="s">
        <v>30</v>
      </c>
    </row>
    <row r="2" spans="1:6">
      <c r="A2" s="1">
        <v>46167</v>
      </c>
      <c r="C2" t="s">
        <v>31</v>
      </c>
    </row>
    <row r="4" spans="1:6">
      <c r="A4" s="1">
        <v>46168</v>
      </c>
      <c r="B4" s="1"/>
      <c r="C4" t="s">
        <v>32</v>
      </c>
    </row>
    <row r="10" spans="1:6">
      <c r="A10" s="1">
        <f>A4+1</f>
        <v>46169</v>
      </c>
      <c r="C10" t="s">
        <v>33</v>
      </c>
    </row>
    <row r="12" spans="1:6" ht="15.75">
      <c r="A12" s="1">
        <f t="shared" ref="A12" si="0">A10+1</f>
        <v>46170</v>
      </c>
      <c r="C12" t="s">
        <v>34</v>
      </c>
      <c r="F12" s="4"/>
    </row>
    <row r="13" spans="1:6" ht="15.75">
      <c r="A13" s="4"/>
    </row>
    <row r="14" spans="1:6">
      <c r="A14" s="1">
        <f t="shared" ref="A14" si="1">A12+1</f>
        <v>46171</v>
      </c>
    </row>
    <row r="18" spans="1:2">
      <c r="B18" t="s">
        <v>35</v>
      </c>
    </row>
    <row r="19" spans="1:2">
      <c r="A19" t="s">
        <v>36</v>
      </c>
      <c r="B19" t="s">
        <v>37</v>
      </c>
    </row>
    <row r="21" spans="1:2">
      <c r="A21" t="s">
        <v>38</v>
      </c>
      <c r="B21" t="s">
        <v>39</v>
      </c>
    </row>
    <row r="23" spans="1:2">
      <c r="A23" t="s">
        <v>40</v>
      </c>
      <c r="B23" t="s">
        <v>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724203-93BF-4AB3-BBFF-F621604F3060}">
  <dimension ref="A12:F23"/>
  <sheetViews>
    <sheetView tabSelected="1" topLeftCell="A5" workbookViewId="0">
      <selection activeCell="B23" sqref="B23"/>
    </sheetView>
  </sheetViews>
  <sheetFormatPr defaultRowHeight="15.95"/>
  <cols>
    <col min="1" max="1" width="30.625" customWidth="1"/>
    <col min="2" max="2" width="41.25" bestFit="1" customWidth="1"/>
    <col min="3" max="3" width="18.75" customWidth="1"/>
    <col min="5" max="5" width="16.5" customWidth="1"/>
  </cols>
  <sheetData>
    <row r="12" spans="1:5">
      <c r="A12" t="s">
        <v>42</v>
      </c>
    </row>
    <row r="13" spans="1:5">
      <c r="E13" t="s">
        <v>43</v>
      </c>
    </row>
    <row r="14" spans="1:5">
      <c r="A14" t="s">
        <v>44</v>
      </c>
      <c r="B14" t="s">
        <v>45</v>
      </c>
      <c r="C14" t="s">
        <v>46</v>
      </c>
      <c r="E14" s="5" t="s">
        <v>47</v>
      </c>
    </row>
    <row r="16" spans="1:5">
      <c r="A16" t="s">
        <v>48</v>
      </c>
      <c r="B16" t="s">
        <v>45</v>
      </c>
      <c r="C16" t="s">
        <v>46</v>
      </c>
      <c r="E16" s="5" t="s">
        <v>47</v>
      </c>
    </row>
    <row r="18" spans="1:6">
      <c r="A18" t="s">
        <v>49</v>
      </c>
      <c r="B18" t="s">
        <v>45</v>
      </c>
      <c r="C18" t="s">
        <v>46</v>
      </c>
      <c r="E18" s="5" t="s">
        <v>47</v>
      </c>
    </row>
    <row r="20" spans="1:6">
      <c r="A20" t="s">
        <v>50</v>
      </c>
      <c r="B20" t="s">
        <v>51</v>
      </c>
      <c r="E20" s="5" t="s">
        <v>47</v>
      </c>
    </row>
    <row r="21" spans="1:6" ht="18.75" customHeight="1">
      <c r="A21" t="s">
        <v>52</v>
      </c>
      <c r="F21" t="s">
        <v>53</v>
      </c>
    </row>
    <row r="23" spans="1:6">
      <c r="A23" t="s">
        <v>54</v>
      </c>
      <c r="B23" t="s">
        <v>55</v>
      </c>
      <c r="E23" s="5" t="s">
        <v>47</v>
      </c>
      <c r="F23" t="s">
        <v>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5F624-6CA8-4BD1-8837-D674A15E3640}">
  <dimension ref="A15:F25"/>
  <sheetViews>
    <sheetView topLeftCell="A8" workbookViewId="0">
      <selection activeCell="E28" sqref="E28"/>
    </sheetView>
  </sheetViews>
  <sheetFormatPr defaultRowHeight="15.95"/>
  <cols>
    <col min="1" max="1" width="49.125" customWidth="1"/>
    <col min="2" max="2" width="51.5" customWidth="1"/>
    <col min="4" max="4" width="0" hidden="1" customWidth="1"/>
    <col min="5" max="5" width="12.375" customWidth="1"/>
  </cols>
  <sheetData>
    <row r="15" spans="1:2" ht="46.5">
      <c r="A15" t="s">
        <v>10</v>
      </c>
      <c r="B15" s="6" t="s">
        <v>57</v>
      </c>
    </row>
    <row r="17" spans="1:6">
      <c r="A17" t="s">
        <v>58</v>
      </c>
      <c r="D17" t="s">
        <v>59</v>
      </c>
    </row>
    <row r="19" spans="1:6">
      <c r="A19" t="s">
        <v>60</v>
      </c>
      <c r="B19" t="s">
        <v>61</v>
      </c>
      <c r="E19" t="s">
        <v>62</v>
      </c>
      <c r="F19" t="s">
        <v>63</v>
      </c>
    </row>
    <row r="21" spans="1:6">
      <c r="A21" t="s">
        <v>64</v>
      </c>
      <c r="B21" t="s">
        <v>65</v>
      </c>
      <c r="E21" t="s">
        <v>66</v>
      </c>
      <c r="F21" t="s">
        <v>63</v>
      </c>
    </row>
    <row r="23" spans="1:6">
      <c r="A23" t="s">
        <v>67</v>
      </c>
      <c r="B23" t="s">
        <v>68</v>
      </c>
      <c r="E23" t="s">
        <v>66</v>
      </c>
      <c r="F23" t="s">
        <v>63</v>
      </c>
    </row>
    <row r="25" spans="1:6">
      <c r="A25" t="s">
        <v>69</v>
      </c>
      <c r="B25" t="s">
        <v>70</v>
      </c>
      <c r="E25" t="s">
        <v>71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59A69-B699-4CFA-82E0-7BD72875D037}">
  <dimension ref="A15:D21"/>
  <sheetViews>
    <sheetView workbookViewId="0">
      <selection activeCell="D23" sqref="D23"/>
    </sheetView>
  </sheetViews>
  <sheetFormatPr defaultRowHeight="15.95"/>
  <cols>
    <col min="1" max="1" width="25.25" customWidth="1"/>
    <col min="2" max="2" width="21.625" customWidth="1"/>
  </cols>
  <sheetData>
    <row r="15" spans="1:4">
      <c r="A15" t="s">
        <v>72</v>
      </c>
      <c r="B15" t="s">
        <v>73</v>
      </c>
    </row>
    <row r="16" spans="1:4">
      <c r="D16" t="s">
        <v>43</v>
      </c>
    </row>
    <row r="17" spans="1:2">
      <c r="A17" t="s">
        <v>74</v>
      </c>
      <c r="B17" t="s">
        <v>75</v>
      </c>
    </row>
    <row r="19" spans="1:2">
      <c r="A19" t="s">
        <v>76</v>
      </c>
      <c r="B19" t="s">
        <v>75</v>
      </c>
    </row>
    <row r="21" spans="1:2">
      <c r="A21" t="s">
        <v>77</v>
      </c>
      <c r="B21" t="s">
        <v>75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C185F-F58B-4882-BB6A-99C5A8DAD27D}">
  <dimension ref="A14:E22"/>
  <sheetViews>
    <sheetView topLeftCell="B3" workbookViewId="0">
      <selection activeCell="E20" sqref="E20"/>
    </sheetView>
  </sheetViews>
  <sheetFormatPr defaultRowHeight="15.95"/>
  <cols>
    <col min="1" max="1" width="32.5" customWidth="1"/>
    <col min="2" max="2" width="65" customWidth="1"/>
    <col min="3" max="3" width="16.625" customWidth="1"/>
    <col min="4" max="4" width="23.375" customWidth="1"/>
    <col min="5" max="5" width="19.375" customWidth="1"/>
  </cols>
  <sheetData>
    <row r="14" spans="1:4">
      <c r="A14" t="s">
        <v>78</v>
      </c>
    </row>
    <row r="15" spans="1:4">
      <c r="D15" t="s">
        <v>43</v>
      </c>
    </row>
    <row r="16" spans="1:4">
      <c r="A16" t="s">
        <v>79</v>
      </c>
      <c r="B16" t="s">
        <v>37</v>
      </c>
    </row>
    <row r="18" spans="1:5">
      <c r="A18" t="s">
        <v>80</v>
      </c>
      <c r="B18" t="s">
        <v>81</v>
      </c>
      <c r="D18" t="s">
        <v>82</v>
      </c>
    </row>
    <row r="20" spans="1:5">
      <c r="A20" t="s">
        <v>83</v>
      </c>
      <c r="B20" t="s">
        <v>84</v>
      </c>
      <c r="D20" t="s">
        <v>85</v>
      </c>
      <c r="E20" t="s">
        <v>86</v>
      </c>
    </row>
    <row r="21" spans="1:5">
      <c r="B21" t="s">
        <v>87</v>
      </c>
    </row>
    <row r="22" spans="1:5">
      <c r="B22" t="s">
        <v>88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580AA-63C5-4A17-B275-34DB10D89DEB}">
  <dimension ref="A14:C19"/>
  <sheetViews>
    <sheetView workbookViewId="0">
      <selection activeCell="C18" sqref="C18"/>
    </sheetView>
  </sheetViews>
  <sheetFormatPr defaultRowHeight="15.95"/>
  <cols>
    <col min="1" max="1" width="52.375" customWidth="1"/>
    <col min="2" max="2" width="35.5" customWidth="1"/>
    <col min="3" max="3" width="32" customWidth="1"/>
  </cols>
  <sheetData>
    <row r="14" spans="1:3">
      <c r="A14" t="s">
        <v>89</v>
      </c>
    </row>
    <row r="16" spans="1:3">
      <c r="A16" t="s">
        <v>90</v>
      </c>
      <c r="C16" t="s">
        <v>91</v>
      </c>
    </row>
    <row r="18" spans="1:3">
      <c r="A18" t="s">
        <v>92</v>
      </c>
      <c r="C18" t="s">
        <v>93</v>
      </c>
    </row>
    <row r="19" spans="1:3">
      <c r="A19" t="s">
        <v>94</v>
      </c>
      <c r="C19" t="s">
        <v>93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72E17-9FFE-4DB4-AF66-56E8BA384E79}">
  <dimension ref="A14:D15"/>
  <sheetViews>
    <sheetView workbookViewId="0">
      <selection activeCell="D28" sqref="D28"/>
    </sheetView>
  </sheetViews>
  <sheetFormatPr defaultRowHeight="15.95"/>
  <cols>
    <col min="1" max="1" width="24.25" customWidth="1"/>
    <col min="2" max="2" width="14.875" customWidth="1"/>
    <col min="4" max="4" width="22.125" customWidth="1"/>
  </cols>
  <sheetData>
    <row r="14" spans="1:4">
      <c r="A14" t="s">
        <v>18</v>
      </c>
    </row>
    <row r="15" spans="1:4">
      <c r="A15" t="s">
        <v>95</v>
      </c>
      <c r="B15" t="s">
        <v>37</v>
      </c>
      <c r="D15" t="s">
        <v>96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2D4C5-F861-4F4B-9751-7CF6281C8800}">
  <dimension ref="A1"/>
  <sheetViews>
    <sheetView workbookViewId="0"/>
  </sheetViews>
  <sheetFormatPr defaultRowHeight="15.9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7929D-AD65-4CE9-BF8E-66086023685B}">
  <dimension ref="A1"/>
  <sheetViews>
    <sheetView workbookViewId="0"/>
  </sheetViews>
  <sheetFormatPr defaultRowHeight="15.9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99BF2-7816-4D37-8F2E-A4AEC8FE33CF}">
  <dimension ref="A1"/>
  <sheetViews>
    <sheetView workbookViewId="0"/>
  </sheetViews>
  <sheetFormatPr defaultRowHeight="15.9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11B9ADA3C88D84DA852962C88CCCF71" ma:contentTypeVersion="3" ma:contentTypeDescription="Create a new document." ma:contentTypeScope="" ma:versionID="fb8c17446f1b3f0664823c0cd0cfd6e0">
  <xsd:schema xmlns:xsd="http://www.w3.org/2001/XMLSchema" xmlns:xs="http://www.w3.org/2001/XMLSchema" xmlns:p="http://schemas.microsoft.com/office/2006/metadata/properties" xmlns:ns2="29555bce-99f7-4351-a06e-6e58a2a8a9c5" targetNamespace="http://schemas.microsoft.com/office/2006/metadata/properties" ma:root="true" ma:fieldsID="a69d9eff398ae5b3f2ca614c38d74f66" ns2:_="">
    <xsd:import namespace="29555bce-99f7-4351-a06e-6e58a2a8a9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555bce-99f7-4351-a06e-6e58a2a8a9c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57BA70C-BAC7-4091-B4F1-876342C6970D}"/>
</file>

<file path=customXml/itemProps2.xml><?xml version="1.0" encoding="utf-8"?>
<ds:datastoreItem xmlns:ds="http://schemas.openxmlformats.org/officeDocument/2006/customXml" ds:itemID="{D6B2C08C-1A19-45F4-B774-B4C06928DC26}"/>
</file>

<file path=customXml/itemProps3.xml><?xml version="1.0" encoding="utf-8"?>
<ds:datastoreItem xmlns:ds="http://schemas.openxmlformats.org/officeDocument/2006/customXml" ds:itemID="{E948F4DD-3F9E-4963-820A-2F7ED559FDD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Wang, Le</dc:creator>
  <cp:keywords/>
  <dc:description/>
  <cp:lastModifiedBy>Dahal, Pragati</cp:lastModifiedBy>
  <cp:revision/>
  <dcterms:created xsi:type="dcterms:W3CDTF">2026-03-19T00:26:25Z</dcterms:created>
  <dcterms:modified xsi:type="dcterms:W3CDTF">2026-03-30T15:54:24Z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0x010100411B9ADA3C88D84DA852962C88CCCF71</vt:lpwstr>
  </property>
</Properties>
</file>